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lvaro/Desktop/Claude/resultados-bacanes/"/>
    </mc:Choice>
  </mc:AlternateContent>
  <xr:revisionPtr revIDLastSave="0" documentId="13_ncr:1_{10A6661A-FA72-4748-8C6D-9044DBEAC2CF}" xr6:coauthVersionLast="47" xr6:coauthVersionMax="47" xr10:uidLastSave="{00000000-0000-0000-0000-000000000000}"/>
  <bookViews>
    <workbookView xWindow="360" yWindow="1020" windowWidth="29400" windowHeight="18360" xr2:uid="{00000000-000D-0000-FFFF-FFFF00000000}"/>
  </bookViews>
  <sheets>
    <sheet name="EERR DETAL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D14" i="1"/>
  <c r="B44" i="1" l="1"/>
  <c r="M43" i="1"/>
  <c r="L43" i="1"/>
  <c r="K43" i="1"/>
  <c r="J43" i="1"/>
  <c r="I43" i="1"/>
  <c r="H43" i="1"/>
  <c r="G43" i="1"/>
  <c r="F43" i="1"/>
  <c r="E43" i="1"/>
  <c r="D43" i="1"/>
  <c r="N43" i="1" s="1"/>
  <c r="C43" i="1"/>
  <c r="B43" i="1"/>
  <c r="N42" i="1"/>
  <c r="N41" i="1"/>
  <c r="N39" i="1"/>
  <c r="N38" i="1"/>
  <c r="N37" i="1"/>
  <c r="N36" i="1"/>
  <c r="N34" i="1"/>
  <c r="N33" i="1"/>
  <c r="N32" i="1"/>
  <c r="N31" i="1"/>
  <c r="N30" i="1"/>
  <c r="N29" i="1"/>
  <c r="N28" i="1"/>
  <c r="N26" i="1"/>
  <c r="N25" i="1"/>
  <c r="N24" i="1"/>
  <c r="N22" i="1"/>
  <c r="M22" i="1"/>
  <c r="M44" i="1" s="1"/>
  <c r="L22" i="1"/>
  <c r="L44" i="1" s="1"/>
  <c r="K22" i="1"/>
  <c r="K44" i="1" s="1"/>
  <c r="J22" i="1"/>
  <c r="J44" i="1" s="1"/>
  <c r="I22" i="1"/>
  <c r="I44" i="1" s="1"/>
  <c r="H22" i="1"/>
  <c r="H44" i="1" s="1"/>
  <c r="G22" i="1"/>
  <c r="G44" i="1" s="1"/>
  <c r="F22" i="1"/>
  <c r="F44" i="1" s="1"/>
  <c r="E22" i="1"/>
  <c r="E44" i="1" s="1"/>
  <c r="D22" i="1"/>
  <c r="D44" i="1" s="1"/>
  <c r="C22" i="1"/>
  <c r="C44" i="1" s="1"/>
  <c r="B22" i="1"/>
  <c r="N21" i="1"/>
  <c r="N20" i="1"/>
  <c r="N19" i="1"/>
  <c r="N18" i="1"/>
  <c r="N17" i="1"/>
  <c r="N15" i="1"/>
  <c r="N14" i="1"/>
  <c r="N13" i="1"/>
  <c r="N12" i="1"/>
  <c r="N11" i="1"/>
  <c r="N10" i="1"/>
  <c r="N9" i="1"/>
  <c r="N8" i="1"/>
  <c r="N7" i="1"/>
  <c r="N6" i="1"/>
  <c r="N44" i="1" l="1"/>
</calcChain>
</file>

<file path=xl/sharedStrings.xml><?xml version="1.0" encoding="utf-8"?>
<sst xmlns="http://schemas.openxmlformats.org/spreadsheetml/2006/main" count="56" uniqueCount="56">
  <si>
    <t>PROYECTOS BACANES — PRESUPUESTO ANUAL</t>
  </si>
  <si>
    <t>Completar montos mensuales en pesos chilenos ($). No modificar estructura de filas.</t>
  </si>
  <si>
    <t>CONCEPTO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</si>
  <si>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</si>
  <si>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</si>
  <si>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</si>
  <si>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</si>
  <si>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</si>
  <si>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</si>
  <si>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</si>
  <si>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</si>
  <si>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</si>
  <si>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</si>
  <si>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</si>
  <si>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</si>
  <si>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</si>
  <si>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 xml:space="preserve">  INGRESOS — VENTAS</t>
  </si>
  <si>
    <t>TOTAL VENTAS</t>
  </si>
  <si>
    <t xml:space="preserve">    COMERCIAL RS MARKETING</t>
  </si>
  <si>
    <t xml:space="preserve">    PEDIDOS YA</t>
  </si>
  <si>
    <t xml:space="preserve">    HEINZ KRAFT</t>
  </si>
  <si>
    <t xml:space="preserve">    COMERCIAL RS SUELDO</t>
  </si>
  <si>
    <t xml:space="preserve">    ENTEL</t>
  </si>
  <si>
    <t xml:space="preserve">    JALAPEÑOS MC</t>
  </si>
  <si>
    <t xml:space="preserve">    JALAPEÑOS MK</t>
  </si>
  <si>
    <t xml:space="preserve">    SANTANDER</t>
  </si>
  <si>
    <t xml:space="preserve">    FALABELLA</t>
  </si>
  <si>
    <t xml:space="preserve">  OTROS INGRESOS</t>
  </si>
  <si>
    <t>TOTAL OTROS INGRESOS</t>
  </si>
  <si>
    <t xml:space="preserve">    MARLEY COFFEE</t>
  </si>
  <si>
    <t xml:space="preserve">    FREELANCE</t>
  </si>
  <si>
    <t xml:space="preserve">    7 HERMANOS EVENTOS</t>
  </si>
  <si>
    <t xml:space="preserve">    DAP</t>
  </si>
  <si>
    <t>TOTAL INGRESOS</t>
  </si>
  <si>
    <t xml:space="preserve">  GASTOS OPERACIONALES</t>
  </si>
  <si>
    <t>4101 GASTOS OPERACIONALES</t>
  </si>
  <si>
    <t xml:space="preserve">    4101-01 COSTO DE VENTA</t>
  </si>
  <si>
    <t xml:space="preserve">    4101-20 IMPUESTOS ESPECIFICOS</t>
  </si>
  <si>
    <t xml:space="preserve">  REMUNERACIONES</t>
  </si>
  <si>
    <t>4201 TOTAL REMUNERACIONES</t>
  </si>
  <si>
    <t xml:space="preserve">    4201-01-0001 REMUNERACIONES</t>
  </si>
  <si>
    <t xml:space="preserve">    4201-01-0002 REMUNERACIONES EXTRAS</t>
  </si>
  <si>
    <t xml:space="preserve">    4201-14 GRATIFICACIONES</t>
  </si>
  <si>
    <t xml:space="preserve">    4201-26 LOCOMOCION Y COLACION</t>
  </si>
  <si>
    <t xml:space="preserve">    4201-07 HONORARIOS REMUNERACIONES</t>
  </si>
  <si>
    <t xml:space="preserve">    4201-03 LEYES SOCIALES</t>
  </si>
  <si>
    <t xml:space="preserve">  ADMINISTRACIÓN</t>
  </si>
  <si>
    <t>4201 TOTAL ADMINISTACIÓN</t>
  </si>
  <si>
    <t xml:space="preserve">    4201-08 GASTOS ADMINISTRATIVOS</t>
  </si>
  <si>
    <t xml:space="preserve">    4201-12 LEGALES Y NOTARIALES</t>
  </si>
  <si>
    <t xml:space="preserve">    4201-30 ARRIENDOS Y GASTOS COMUNES</t>
  </si>
  <si>
    <t xml:space="preserve">  GASTOS FINANCIEROS</t>
  </si>
  <si>
    <t>4201 TOTAL GASTOS FINANCIEROS</t>
  </si>
  <si>
    <t xml:space="preserve">    4201-10 GASTOS BANCARIOS</t>
  </si>
  <si>
    <t>TOTAL GASTOS</t>
  </si>
  <si>
    <t>GANANCIA / PÉRDIDA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</si>
</sst>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color rgb="FF64748B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064E3B"/>
      <name val="Arial"/>
      <family val="2"/>
    </font>
    <font>
      <b/>
      <sz val="9"/>
      <color rgb="FF7F1D1D"/>
      <name val="Arial"/>
      <family val="2"/>
    </font>
    <font>
      <b/>
      <sz val="10"/>
      <color rgb="FF1E293B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065F46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047857"/>
      </patternFill>
    </fill>
    <fill>
      <patternFill patternType="solid">
        <fgColor rgb="FF6EE7B7"/>
      </patternFill>
    </fill>
    <fill>
      <patternFill patternType="solid">
        <fgColor rgb="FF7F1D1D"/>
      </patternFill>
    </fill>
    <fill>
      <patternFill patternType="solid">
        <fgColor rgb="FFFEE2E2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DC2626"/>
      </patternFill>
    </fill>
    <fill>
      <patternFill patternType="solid">
        <fgColor rgb="FFFECACA"/>
      </patternFill>
    </fill>
    <fill>
      <patternFill patternType="solid">
        <fgColor rgb="FFCBD5E1"/>
      </patternFill>
    </fill>
    <fill>
      <patternFill patternType="solid">
        <fgColor rgb="FF94A3B8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3" fontId="3" fillId="5" borderId="0" xfId="0" applyNumberFormat="1" applyFont="1" applyFill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3" fontId="4" fillId="6" borderId="1" xfId="0" applyNumberFormat="1" applyFont="1" applyFill="1" applyBorder="1" applyAlignment="1">
      <alignment horizontal="right" vertical="center"/>
    </xf>
    <xf numFmtId="3" fontId="4" fillId="7" borderId="0" xfId="0" applyNumberFormat="1" applyFont="1" applyFill="1" applyAlignment="1">
      <alignment horizontal="right" vertical="center"/>
    </xf>
    <xf numFmtId="0" fontId="5" fillId="9" borderId="0" xfId="0" applyFont="1" applyFill="1" applyAlignment="1">
      <alignment horizontal="left" vertical="center"/>
    </xf>
    <xf numFmtId="3" fontId="5" fillId="9" borderId="0" xfId="0" applyNumberFormat="1" applyFont="1" applyFill="1" applyAlignment="1">
      <alignment horizontal="right" vertical="center"/>
    </xf>
    <xf numFmtId="0" fontId="3" fillId="11" borderId="0" xfId="0" applyFont="1" applyFill="1" applyAlignment="1">
      <alignment horizontal="left" vertical="center"/>
    </xf>
    <xf numFmtId="3" fontId="3" fillId="11" borderId="0" xfId="0" applyNumberFormat="1" applyFont="1" applyFill="1" applyAlignment="1">
      <alignment horizontal="right" vertical="center"/>
    </xf>
    <xf numFmtId="0" fontId="6" fillId="15" borderId="0" xfId="0" applyFont="1" applyFill="1" applyAlignment="1">
      <alignment horizontal="left" vertical="center"/>
    </xf>
    <xf numFmtId="3" fontId="6" fillId="15" borderId="0" xfId="0" applyNumberFormat="1" applyFont="1" applyFill="1" applyAlignment="1">
      <alignment horizontal="right" vertical="center"/>
    </xf>
    <xf numFmtId="0" fontId="7" fillId="16" borderId="0" xfId="0" applyFont="1" applyFill="1" applyAlignment="1">
      <alignment horizontal="left" vertical="center"/>
    </xf>
    <xf numFmtId="3" fontId="7" fillId="16" borderId="0" xfId="0" applyNumberFormat="1" applyFont="1" applyFill="1" applyAlignment="1">
      <alignment horizontal="right" vertical="center"/>
    </xf>
    <xf numFmtId="3" fontId="7" fillId="17" borderId="0" xfId="0" applyNumberFormat="1" applyFont="1" applyFill="1" applyAlignment="1">
      <alignment horizontal="right" vertical="center"/>
    </xf>
    <xf numFmtId="0" fontId="1" fillId="14" borderId="0" xfId="0" applyFont="1" applyFill="1" applyAlignment="1">
      <alignment horizontal="left" vertical="center"/>
    </xf>
    <xf numFmtId="0" fontId="0" fillId="0" borderId="0" xfId="0"/>
    <xf numFmtId="0" fontId="1" fillId="12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P26" sqref="P26"/>
    </sheetView>
  </sheetViews>
  <sheetFormatPr baseColWidth="10" defaultColWidth="8.83203125" defaultRowHeight="15" x14ac:dyDescent="0.2"/>
  <cols>
    <col min="1" max="1" width="36" customWidth="1"/>
    <col min="2" max="13" width="13" customWidth="1"/>
    <col min="14" max="14" width="14" customWidth="1"/>
  </cols>
  <sheetData>
    <row r="1" spans="1:16" ht="22" customHeight="1" x14ac:dyDescent="0.2">
      <c r="A1" s="22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">
      <c r="A2" s="26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6" customHeight="1" x14ac:dyDescent="0.2"/>
    <row r="4" spans="1:16" ht="20" customHeight="1" x14ac:dyDescent="0.2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3" t="s">
        <v>15</v>
      </c>
    </row>
    <row r="5" spans="1:16" ht="16" customHeight="1" x14ac:dyDescent="0.2">
      <c r="A5" s="24" t="s">
        <v>16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6" ht="15" customHeight="1" x14ac:dyDescent="0.2">
      <c r="A6" s="4" t="s">
        <v>17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f t="shared" ref="N6:N15" si="0">SUM(B6:M6)</f>
        <v>0</v>
      </c>
    </row>
    <row r="7" spans="1:16" ht="14" customHeight="1" x14ac:dyDescent="0.2">
      <c r="A7" s="6" t="s">
        <v>18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8">
        <f t="shared" si="0"/>
        <v>0</v>
      </c>
    </row>
    <row r="8" spans="1:16" ht="14" customHeight="1" x14ac:dyDescent="0.2">
      <c r="A8" s="6" t="s">
        <v>19</v>
      </c>
      <c r="B8" s="7">
        <v>5000000</v>
      </c>
      <c r="C8" s="7">
        <v>5000000</v>
      </c>
      <c r="D8" s="7">
        <v>5000000</v>
      </c>
      <c r="E8" s="7">
        <v>5000000</v>
      </c>
      <c r="F8" s="7">
        <v>5000000</v>
      </c>
      <c r="G8" s="7">
        <v>5000000</v>
      </c>
      <c r="H8" s="7">
        <v>5000000</v>
      </c>
      <c r="I8" s="7">
        <v>5000000</v>
      </c>
      <c r="J8" s="7">
        <v>5000000</v>
      </c>
      <c r="K8" s="7">
        <v>5000000</v>
      </c>
      <c r="L8" s="7">
        <v>5000000</v>
      </c>
      <c r="M8" s="7">
        <v>5000000</v>
      </c>
      <c r="N8" s="8">
        <f t="shared" si="0"/>
        <v>60000000</v>
      </c>
    </row>
    <row r="9" spans="1:16" ht="14" customHeight="1" x14ac:dyDescent="0.2">
      <c r="A9" s="6" t="s">
        <v>20</v>
      </c>
      <c r="B9" s="7">
        <v>3150000</v>
      </c>
      <c r="C9" s="7">
        <v>3150000</v>
      </c>
      <c r="D9" s="7">
        <v>3150000</v>
      </c>
      <c r="E9" s="7">
        <v>3150000</v>
      </c>
      <c r="F9" s="7">
        <v>3150000</v>
      </c>
      <c r="G9" s="7">
        <v>3150000</v>
      </c>
      <c r="H9" s="7">
        <v>3150000</v>
      </c>
      <c r="I9" s="7">
        <v>3150000</v>
      </c>
      <c r="J9" s="7">
        <v>3150000</v>
      </c>
      <c r="K9" s="7">
        <v>3150000</v>
      </c>
      <c r="L9" s="7">
        <v>3150000</v>
      </c>
      <c r="M9" s="7">
        <v>3150000</v>
      </c>
      <c r="N9" s="8">
        <f t="shared" si="0"/>
        <v>37800000</v>
      </c>
    </row>
    <row r="10" spans="1:16" ht="14" customHeight="1" x14ac:dyDescent="0.2">
      <c r="A10" s="6" t="s">
        <v>21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8">
        <f t="shared" si="0"/>
        <v>0</v>
      </c>
    </row>
    <row r="11" spans="1:16" ht="14" customHeight="1" x14ac:dyDescent="0.2">
      <c r="A11" s="6" t="s">
        <v>22</v>
      </c>
      <c r="B11" s="7">
        <v>8333333</v>
      </c>
      <c r="C11" s="7">
        <v>8333333</v>
      </c>
      <c r="D11" s="7">
        <v>8333333</v>
      </c>
      <c r="E11" s="7">
        <v>8333333</v>
      </c>
      <c r="F11" s="7">
        <v>8333333</v>
      </c>
      <c r="G11" s="7">
        <v>8333333</v>
      </c>
      <c r="H11" s="7">
        <v>8333333</v>
      </c>
      <c r="I11" s="7">
        <v>8333333</v>
      </c>
      <c r="J11" s="7">
        <v>8333333</v>
      </c>
      <c r="K11" s="7">
        <v>8333333</v>
      </c>
      <c r="L11" s="7">
        <v>8333333</v>
      </c>
      <c r="M11" s="7">
        <v>8333333</v>
      </c>
      <c r="N11" s="8">
        <f t="shared" si="0"/>
        <v>99999996</v>
      </c>
    </row>
    <row r="12" spans="1:16" ht="14" customHeight="1" x14ac:dyDescent="0.2">
      <c r="A12" s="6" t="s">
        <v>23</v>
      </c>
      <c r="B12" s="7">
        <v>800000</v>
      </c>
      <c r="C12" s="7">
        <v>800000</v>
      </c>
      <c r="D12" s="7">
        <v>800000</v>
      </c>
      <c r="E12" s="7">
        <v>800000</v>
      </c>
      <c r="F12" s="7">
        <v>800000</v>
      </c>
      <c r="G12" s="7">
        <v>800000</v>
      </c>
      <c r="H12" s="7">
        <v>800000</v>
      </c>
      <c r="I12" s="7">
        <v>800000</v>
      </c>
      <c r="J12" s="7">
        <v>800000</v>
      </c>
      <c r="K12" s="7">
        <v>800000</v>
      </c>
      <c r="L12" s="7">
        <v>800000</v>
      </c>
      <c r="M12" s="7">
        <v>800000</v>
      </c>
      <c r="N12" s="8">
        <f t="shared" si="0"/>
        <v>9600000</v>
      </c>
    </row>
    <row r="13" spans="1:16" ht="14" customHeight="1" x14ac:dyDescent="0.2">
      <c r="A13" s="6" t="s">
        <v>24</v>
      </c>
      <c r="B13" s="7">
        <v>1500000</v>
      </c>
      <c r="C13" s="7">
        <v>1500000</v>
      </c>
      <c r="D13" s="7">
        <v>1500000</v>
      </c>
      <c r="E13" s="7">
        <v>1500000</v>
      </c>
      <c r="F13" s="7">
        <v>1500000</v>
      </c>
      <c r="G13" s="7">
        <v>1500000</v>
      </c>
      <c r="H13" s="7">
        <v>1500000</v>
      </c>
      <c r="I13" s="7">
        <v>1500000</v>
      </c>
      <c r="J13" s="7">
        <v>1500000</v>
      </c>
      <c r="K13" s="7">
        <v>1500000</v>
      </c>
      <c r="L13" s="7">
        <v>1500000</v>
      </c>
      <c r="M13" s="7">
        <v>1500000</v>
      </c>
      <c r="N13" s="8">
        <f t="shared" si="0"/>
        <v>18000000</v>
      </c>
    </row>
    <row r="14" spans="1:16" ht="14" customHeight="1" x14ac:dyDescent="0.2">
      <c r="A14" s="6" t="s">
        <v>25</v>
      </c>
      <c r="B14" s="7">
        <v>0</v>
      </c>
      <c r="C14" s="7">
        <v>0</v>
      </c>
      <c r="D14" s="7">
        <f>40000000/1.19</f>
        <v>33613445.37815126</v>
      </c>
      <c r="E14" s="7">
        <v>0</v>
      </c>
      <c r="F14" s="7">
        <v>0</v>
      </c>
      <c r="G14" s="7">
        <f>40000000/1.19</f>
        <v>33613445.37815126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/>
      <c r="N14" s="8">
        <f t="shared" si="0"/>
        <v>67226890.756302521</v>
      </c>
    </row>
    <row r="15" spans="1:16" ht="14" customHeight="1" x14ac:dyDescent="0.2">
      <c r="A15" s="6" t="s">
        <v>26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150000000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8">
        <f t="shared" si="0"/>
        <v>150000000</v>
      </c>
    </row>
    <row r="16" spans="1:16" ht="16" customHeight="1" x14ac:dyDescent="0.2">
      <c r="A16" s="23" t="s">
        <v>27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5" customHeight="1" x14ac:dyDescent="0.2">
      <c r="A17" s="4" t="s">
        <v>28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f t="shared" ref="N17:N22" si="1">SUM(B17:M17)</f>
        <v>0</v>
      </c>
    </row>
    <row r="18" spans="1:14" ht="14" customHeight="1" x14ac:dyDescent="0.2">
      <c r="A18" s="6" t="s">
        <v>29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8">
        <f t="shared" si="1"/>
        <v>0</v>
      </c>
    </row>
    <row r="19" spans="1:14" ht="14" customHeight="1" x14ac:dyDescent="0.2">
      <c r="A19" s="6" t="s">
        <v>30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8">
        <f t="shared" si="1"/>
        <v>0</v>
      </c>
    </row>
    <row r="20" spans="1:14" ht="14" customHeight="1" x14ac:dyDescent="0.2">
      <c r="A20" s="6" t="s">
        <v>31</v>
      </c>
      <c r="B20" s="7">
        <v>4200000</v>
      </c>
      <c r="C20" s="7">
        <v>4200000</v>
      </c>
      <c r="D20" s="7">
        <v>4200000</v>
      </c>
      <c r="E20" s="7">
        <v>4200000</v>
      </c>
      <c r="F20" s="7">
        <v>4200000</v>
      </c>
      <c r="G20" s="7">
        <v>4200000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8">
        <f t="shared" si="1"/>
        <v>25200000</v>
      </c>
    </row>
    <row r="21" spans="1:14" ht="14" customHeight="1" x14ac:dyDescent="0.2">
      <c r="A21" s="6" t="s">
        <v>32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8">
        <f t="shared" si="1"/>
        <v>0</v>
      </c>
    </row>
    <row r="22" spans="1:14" ht="16" customHeight="1" x14ac:dyDescent="0.2">
      <c r="A22" s="9" t="s">
        <v>33</v>
      </c>
      <c r="B22" s="10">
        <f t="shared" ref="B22:M22" si="2">B6+B17</f>
        <v>0</v>
      </c>
      <c r="C22" s="10">
        <f t="shared" si="2"/>
        <v>0</v>
      </c>
      <c r="D22" s="10">
        <f t="shared" si="2"/>
        <v>0</v>
      </c>
      <c r="E22" s="10">
        <f t="shared" si="2"/>
        <v>0</v>
      </c>
      <c r="F22" s="10">
        <f t="shared" si="2"/>
        <v>0</v>
      </c>
      <c r="G22" s="10">
        <f t="shared" si="2"/>
        <v>0</v>
      </c>
      <c r="H22" s="10">
        <f t="shared" si="2"/>
        <v>0</v>
      </c>
      <c r="I22" s="10">
        <f t="shared" si="2"/>
        <v>0</v>
      </c>
      <c r="J22" s="10">
        <f t="shared" si="2"/>
        <v>0</v>
      </c>
      <c r="K22" s="10">
        <f t="shared" si="2"/>
        <v>0</v>
      </c>
      <c r="L22" s="10">
        <f t="shared" si="2"/>
        <v>0</v>
      </c>
      <c r="M22" s="10">
        <f t="shared" si="2"/>
        <v>0</v>
      </c>
      <c r="N22" s="10">
        <f t="shared" si="1"/>
        <v>0</v>
      </c>
    </row>
    <row r="23" spans="1:14" ht="16" customHeight="1" x14ac:dyDescent="0.2">
      <c r="A23" s="25" t="s">
        <v>34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1:14" ht="15" customHeight="1" x14ac:dyDescent="0.2">
      <c r="A24" s="11" t="s">
        <v>35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f>SUM(B24:M24)</f>
        <v>0</v>
      </c>
    </row>
    <row r="25" spans="1:14" ht="14" customHeight="1" x14ac:dyDescent="0.2">
      <c r="A25" s="6" t="s">
        <v>36</v>
      </c>
      <c r="B25" s="7">
        <v>7500000</v>
      </c>
      <c r="C25" s="7">
        <v>7500000</v>
      </c>
      <c r="D25" s="7">
        <v>7500000</v>
      </c>
      <c r="E25" s="7">
        <v>7500000</v>
      </c>
      <c r="F25" s="7">
        <v>7500000</v>
      </c>
      <c r="G25" s="7">
        <v>7500000</v>
      </c>
      <c r="H25" s="7">
        <v>3500000</v>
      </c>
      <c r="I25" s="7">
        <v>3500000</v>
      </c>
      <c r="J25" s="7">
        <v>3500000</v>
      </c>
      <c r="K25" s="7">
        <v>3500000</v>
      </c>
      <c r="L25" s="7">
        <v>3500000</v>
      </c>
      <c r="M25" s="7">
        <v>3500000</v>
      </c>
      <c r="N25" s="8">
        <f>SUM(B25:M25)</f>
        <v>66000000</v>
      </c>
    </row>
    <row r="26" spans="1:14" ht="14" customHeight="1" x14ac:dyDescent="0.2">
      <c r="A26" s="6" t="s">
        <v>37</v>
      </c>
      <c r="B26" s="7">
        <v>100000</v>
      </c>
      <c r="C26" s="7">
        <v>100000</v>
      </c>
      <c r="D26" s="7">
        <v>100000</v>
      </c>
      <c r="E26" s="7">
        <v>100000</v>
      </c>
      <c r="F26" s="7">
        <v>100000</v>
      </c>
      <c r="G26" s="7">
        <v>100000</v>
      </c>
      <c r="H26" s="7">
        <v>100000</v>
      </c>
      <c r="I26" s="7">
        <v>100000</v>
      </c>
      <c r="J26" s="7">
        <v>100000</v>
      </c>
      <c r="K26" s="7">
        <v>100000</v>
      </c>
      <c r="L26" s="7">
        <v>100000</v>
      </c>
      <c r="M26" s="7">
        <v>100000</v>
      </c>
      <c r="N26" s="8">
        <f>SUM(B26:M26)</f>
        <v>1200000</v>
      </c>
    </row>
    <row r="27" spans="1:14" ht="16" customHeight="1" x14ac:dyDescent="0.2">
      <c r="A27" s="20" t="s">
        <v>38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4" ht="15" customHeight="1" x14ac:dyDescent="0.2">
      <c r="A28" s="11" t="s">
        <v>39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f t="shared" ref="N28:N34" si="3">SUM(B28:M28)</f>
        <v>0</v>
      </c>
    </row>
    <row r="29" spans="1:14" ht="14" customHeight="1" x14ac:dyDescent="0.2">
      <c r="A29" s="6" t="s">
        <v>40</v>
      </c>
      <c r="B29" s="7">
        <v>12500000</v>
      </c>
      <c r="C29" s="7">
        <v>12500000</v>
      </c>
      <c r="D29" s="7">
        <v>12500000</v>
      </c>
      <c r="E29" s="7">
        <v>12500000</v>
      </c>
      <c r="F29" s="7">
        <v>12500000</v>
      </c>
      <c r="G29" s="7">
        <v>12500000</v>
      </c>
      <c r="H29" s="7">
        <v>12500000</v>
      </c>
      <c r="I29" s="7">
        <v>12500000</v>
      </c>
      <c r="J29" s="7">
        <v>12500000</v>
      </c>
      <c r="K29" s="7">
        <v>12500000</v>
      </c>
      <c r="L29" s="7">
        <v>12500000</v>
      </c>
      <c r="M29" s="7">
        <v>12500000</v>
      </c>
      <c r="N29" s="8">
        <f t="shared" si="3"/>
        <v>150000000</v>
      </c>
    </row>
    <row r="30" spans="1:14" ht="14" customHeight="1" x14ac:dyDescent="0.2">
      <c r="A30" s="6" t="s">
        <v>41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8">
        <f t="shared" si="3"/>
        <v>0</v>
      </c>
    </row>
    <row r="31" spans="1:14" ht="14" customHeight="1" x14ac:dyDescent="0.2">
      <c r="A31" s="6" t="s">
        <v>42</v>
      </c>
      <c r="B31" s="7">
        <v>1000000</v>
      </c>
      <c r="C31" s="7">
        <v>1000000</v>
      </c>
      <c r="D31" s="7">
        <v>1000000</v>
      </c>
      <c r="E31" s="7">
        <v>1000000</v>
      </c>
      <c r="F31" s="7">
        <v>1000000</v>
      </c>
      <c r="G31" s="7">
        <v>1000000</v>
      </c>
      <c r="H31" s="7">
        <v>1000000</v>
      </c>
      <c r="I31" s="7">
        <v>1000000</v>
      </c>
      <c r="J31" s="7">
        <v>1000000</v>
      </c>
      <c r="K31" s="7">
        <v>1000000</v>
      </c>
      <c r="L31" s="7">
        <v>1000000</v>
      </c>
      <c r="M31" s="7">
        <v>1000000</v>
      </c>
      <c r="N31" s="8">
        <f t="shared" si="3"/>
        <v>12000000</v>
      </c>
    </row>
    <row r="32" spans="1:14" ht="14" customHeight="1" x14ac:dyDescent="0.2">
      <c r="A32" s="6" t="s">
        <v>43</v>
      </c>
      <c r="B32" s="7">
        <v>380000</v>
      </c>
      <c r="C32" s="7">
        <v>380000</v>
      </c>
      <c r="D32" s="7">
        <v>380000</v>
      </c>
      <c r="E32" s="7">
        <v>380000</v>
      </c>
      <c r="F32" s="7">
        <v>380000</v>
      </c>
      <c r="G32" s="7">
        <v>380000</v>
      </c>
      <c r="H32" s="7">
        <v>380000</v>
      </c>
      <c r="I32" s="7">
        <v>380000</v>
      </c>
      <c r="J32" s="7">
        <v>380000</v>
      </c>
      <c r="K32" s="7">
        <v>380000</v>
      </c>
      <c r="L32" s="7">
        <v>380000</v>
      </c>
      <c r="M32" s="7">
        <v>380000</v>
      </c>
      <c r="N32" s="8">
        <f t="shared" si="3"/>
        <v>4560000</v>
      </c>
    </row>
    <row r="33" spans="1:14" ht="14" customHeight="1" x14ac:dyDescent="0.2">
      <c r="A33" s="6" t="s">
        <v>44</v>
      </c>
      <c r="B33" s="7">
        <v>2500000</v>
      </c>
      <c r="C33" s="7">
        <v>2500000</v>
      </c>
      <c r="D33" s="7">
        <v>2500000</v>
      </c>
      <c r="E33" s="7">
        <v>2500000</v>
      </c>
      <c r="F33" s="7">
        <v>2500000</v>
      </c>
      <c r="G33" s="7">
        <v>2500000</v>
      </c>
      <c r="H33" s="7">
        <v>2500000</v>
      </c>
      <c r="I33" s="7">
        <v>2500000</v>
      </c>
      <c r="J33" s="7">
        <v>2500000</v>
      </c>
      <c r="K33" s="7">
        <v>2500000</v>
      </c>
      <c r="L33" s="7">
        <v>2500000</v>
      </c>
      <c r="M33" s="7">
        <v>2500000</v>
      </c>
      <c r="N33" s="8">
        <f t="shared" si="3"/>
        <v>30000000</v>
      </c>
    </row>
    <row r="34" spans="1:14" ht="14" customHeight="1" x14ac:dyDescent="0.2">
      <c r="A34" s="6" t="s">
        <v>45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8">
        <f t="shared" si="3"/>
        <v>0</v>
      </c>
    </row>
    <row r="35" spans="1:14" ht="16" customHeight="1" x14ac:dyDescent="0.2">
      <c r="A35" s="21" t="s">
        <v>46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ht="15" customHeight="1" x14ac:dyDescent="0.2">
      <c r="A36" s="11" t="s">
        <v>47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f>SUM(B36:M36)</f>
        <v>0</v>
      </c>
    </row>
    <row r="37" spans="1:14" ht="14" customHeight="1" x14ac:dyDescent="0.2">
      <c r="A37" s="6" t="s">
        <v>48</v>
      </c>
      <c r="B37" s="7">
        <v>1100000</v>
      </c>
      <c r="C37" s="7">
        <v>1100000</v>
      </c>
      <c r="D37" s="7">
        <v>1100000</v>
      </c>
      <c r="E37" s="7">
        <v>1100000</v>
      </c>
      <c r="F37" s="7">
        <v>1100000</v>
      </c>
      <c r="G37" s="7">
        <v>1100000</v>
      </c>
      <c r="H37" s="7">
        <v>1100000</v>
      </c>
      <c r="I37" s="7">
        <v>1100000</v>
      </c>
      <c r="J37" s="7">
        <v>1100000</v>
      </c>
      <c r="K37" s="7">
        <v>1100000</v>
      </c>
      <c r="L37" s="7">
        <v>1100000</v>
      </c>
      <c r="M37" s="7">
        <v>1100000</v>
      </c>
      <c r="N37" s="8">
        <f>SUM(B37:M37)</f>
        <v>13200000</v>
      </c>
    </row>
    <row r="38" spans="1:14" ht="14" customHeight="1" x14ac:dyDescent="0.2">
      <c r="A38" s="6" t="s">
        <v>49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8">
        <f>SUM(B38:M38)</f>
        <v>0</v>
      </c>
    </row>
    <row r="39" spans="1:14" ht="14" customHeight="1" x14ac:dyDescent="0.2">
      <c r="A39" s="6" t="s">
        <v>50</v>
      </c>
      <c r="B39" s="7">
        <v>1000000</v>
      </c>
      <c r="C39" s="7">
        <v>1000000</v>
      </c>
      <c r="D39" s="7">
        <v>1000000</v>
      </c>
      <c r="E39" s="7">
        <v>1000000</v>
      </c>
      <c r="F39" s="7">
        <v>4000000</v>
      </c>
      <c r="G39" s="7">
        <v>4000000</v>
      </c>
      <c r="H39" s="7">
        <v>4000000</v>
      </c>
      <c r="I39" s="7">
        <v>4000000</v>
      </c>
      <c r="J39" s="7">
        <v>4000000</v>
      </c>
      <c r="K39" s="7">
        <v>4000000</v>
      </c>
      <c r="L39" s="7">
        <v>4000000</v>
      </c>
      <c r="M39" s="7">
        <v>4000000</v>
      </c>
      <c r="N39" s="8">
        <f>SUM(B39:M39)</f>
        <v>36000000</v>
      </c>
    </row>
    <row r="40" spans="1:14" ht="16" customHeight="1" x14ac:dyDescent="0.2">
      <c r="A40" s="18" t="s">
        <v>51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5" customHeight="1" x14ac:dyDescent="0.2">
      <c r="A41" s="11" t="s">
        <v>52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f>SUM(B41:M41)</f>
        <v>0</v>
      </c>
    </row>
    <row r="42" spans="1:14" ht="14" customHeight="1" x14ac:dyDescent="0.2">
      <c r="A42" s="6" t="s">
        <v>53</v>
      </c>
      <c r="B42" s="7">
        <v>30000</v>
      </c>
      <c r="C42" s="7">
        <v>30000</v>
      </c>
      <c r="D42" s="7">
        <v>30000</v>
      </c>
      <c r="E42" s="7">
        <v>30000</v>
      </c>
      <c r="F42" s="7">
        <v>30000</v>
      </c>
      <c r="G42" s="7">
        <v>30000</v>
      </c>
      <c r="H42" s="7">
        <v>30000</v>
      </c>
      <c r="I42" s="7">
        <v>30000</v>
      </c>
      <c r="J42" s="7">
        <v>30000</v>
      </c>
      <c r="K42" s="7">
        <v>30000</v>
      </c>
      <c r="L42" s="7">
        <v>30000</v>
      </c>
      <c r="M42" s="7">
        <v>30000</v>
      </c>
      <c r="N42" s="8">
        <f>SUM(B42:M42)</f>
        <v>360000</v>
      </c>
    </row>
    <row r="43" spans="1:14" ht="16" customHeight="1" x14ac:dyDescent="0.2">
      <c r="A43" s="13" t="s">
        <v>54</v>
      </c>
      <c r="B43" s="14">
        <f t="shared" ref="B43:M43" si="4">B24+B28+B36+B41</f>
        <v>0</v>
      </c>
      <c r="C43" s="14">
        <f t="shared" si="4"/>
        <v>0</v>
      </c>
      <c r="D43" s="14">
        <f t="shared" si="4"/>
        <v>0</v>
      </c>
      <c r="E43" s="14">
        <f t="shared" si="4"/>
        <v>0</v>
      </c>
      <c r="F43" s="14">
        <f t="shared" si="4"/>
        <v>0</v>
      </c>
      <c r="G43" s="14">
        <f t="shared" si="4"/>
        <v>0</v>
      </c>
      <c r="H43" s="14">
        <f t="shared" si="4"/>
        <v>0</v>
      </c>
      <c r="I43" s="14">
        <f t="shared" si="4"/>
        <v>0</v>
      </c>
      <c r="J43" s="14">
        <f t="shared" si="4"/>
        <v>0</v>
      </c>
      <c r="K43" s="14">
        <f t="shared" si="4"/>
        <v>0</v>
      </c>
      <c r="L43" s="14">
        <f t="shared" si="4"/>
        <v>0</v>
      </c>
      <c r="M43" s="14">
        <f t="shared" si="4"/>
        <v>0</v>
      </c>
      <c r="N43" s="14">
        <f>SUM(B43:M43)</f>
        <v>0</v>
      </c>
    </row>
    <row r="44" spans="1:14" ht="18" customHeight="1" x14ac:dyDescent="0.2">
      <c r="A44" s="15" t="s">
        <v>55</v>
      </c>
      <c r="B44" s="16">
        <f t="shared" ref="B44:M44" si="5">B22-B43</f>
        <v>0</v>
      </c>
      <c r="C44" s="16">
        <f t="shared" si="5"/>
        <v>0</v>
      </c>
      <c r="D44" s="16">
        <f t="shared" si="5"/>
        <v>0</v>
      </c>
      <c r="E44" s="16">
        <f t="shared" si="5"/>
        <v>0</v>
      </c>
      <c r="F44" s="16">
        <f t="shared" si="5"/>
        <v>0</v>
      </c>
      <c r="G44" s="16">
        <f t="shared" si="5"/>
        <v>0</v>
      </c>
      <c r="H44" s="16">
        <f t="shared" si="5"/>
        <v>0</v>
      </c>
      <c r="I44" s="16">
        <f t="shared" si="5"/>
        <v>0</v>
      </c>
      <c r="J44" s="16">
        <f t="shared" si="5"/>
        <v>0</v>
      </c>
      <c r="K44" s="16">
        <f t="shared" si="5"/>
        <v>0</v>
      </c>
      <c r="L44" s="16">
        <f t="shared" si="5"/>
        <v>0</v>
      </c>
      <c r="M44" s="16">
        <f t="shared" si="5"/>
        <v>0</v>
      </c>
      <c r="N44" s="17">
        <f>SUM(B44:M44)</f>
        <v>0</v>
      </c>
    </row>
  </sheetData>
  <mergeCells count="8">
    <mergeCell ref="A40:N40"/>
    <mergeCell ref="A27:N27"/>
    <mergeCell ref="A35:N35"/>
    <mergeCell ref="A1:P1"/>
    <mergeCell ref="A16:N16"/>
    <mergeCell ref="A5:N5"/>
    <mergeCell ref="A23:N2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EERR 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2026-05-29T17:26:19Z</dcterms:created>
  <dcterms:modified xsi:type="dcterms:W3CDTF">2026-06-16T23:20:59Z</dcterms:modified>
</cp:coreProperties>
</file>